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duonghaanh1604icloud.com/Downloads/"/>
    </mc:Choice>
  </mc:AlternateContent>
  <xr:revisionPtr revIDLastSave="0" documentId="8_{3288A124-DE61-404B-B8F7-04D3291785FF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ummary" sheetId="1" r:id="rId1"/>
    <sheet name="QA_Cleaning" sheetId="2" r:id="rId2"/>
    <sheet name="Segmentation" sheetId="3" r:id="rId3"/>
    <sheet name="Churn_Analysis" sheetId="4" r:id="rId4"/>
    <sheet name="Insigh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4" l="1"/>
  <c r="D29" i="4"/>
  <c r="D28" i="4"/>
  <c r="D27" i="4"/>
  <c r="D26" i="4"/>
  <c r="D21" i="4"/>
  <c r="D20" i="4"/>
  <c r="D19" i="4"/>
  <c r="D18" i="4"/>
  <c r="D13" i="4"/>
  <c r="D12" i="4"/>
  <c r="D11" i="4"/>
  <c r="D10" i="4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B19" i="1"/>
  <c r="B5" i="4" s="1"/>
  <c r="B18" i="1"/>
</calcChain>
</file>

<file path=xl/sharedStrings.xml><?xml version="1.0" encoding="utf-8"?>
<sst xmlns="http://schemas.openxmlformats.org/spreadsheetml/2006/main" count="245" uniqueCount="174">
  <si>
    <t>Customer Retention &amp; Engagement Analytics</t>
  </si>
  <si>
    <t>Project purpose</t>
  </si>
  <si>
    <t>Analyse an e-commerce customer dataset to identify behavioural, engagement and value patterns associated with churn, and support practical customer-retention decisions.</t>
  </si>
  <si>
    <t>Project flow</t>
  </si>
  <si>
    <t>Raw data → Excel QA → Python profiling &amp; cleaning → Missing-value treatment → Feature engineering → Churn analysis → Insights</t>
  </si>
  <si>
    <t>Core project metrics</t>
  </si>
  <si>
    <t>Tools used</t>
  </si>
  <si>
    <t>Metric</t>
  </si>
  <si>
    <t>Value</t>
  </si>
  <si>
    <t>Excel</t>
  </si>
  <si>
    <t>Initial QA / reconciliation</t>
  </si>
  <si>
    <t>Raw records</t>
  </si>
  <si>
    <t>Python</t>
  </si>
  <si>
    <t>Cleaning, feature engineering, EDA</t>
  </si>
  <si>
    <t>Raw columns</t>
  </si>
  <si>
    <t>Pandas / NumPy</t>
  </si>
  <si>
    <t>Data manipulation</t>
  </si>
  <si>
    <t>Final records</t>
  </si>
  <si>
    <t>Matplotlib</t>
  </si>
  <si>
    <t>Visualisation</t>
  </si>
  <si>
    <t>Final columns</t>
  </si>
  <si>
    <t>scikit-learn</t>
  </si>
  <si>
    <t>StandardScaler for engagement score</t>
  </si>
  <si>
    <t>Churned customers</t>
  </si>
  <si>
    <t>Retained customers</t>
  </si>
  <si>
    <t>Business questions</t>
  </si>
  <si>
    <t>Overall churn rate</t>
  </si>
  <si>
    <t>1</t>
  </si>
  <si>
    <t>Who is churning?</t>
  </si>
  <si>
    <t>Final missing values</t>
  </si>
  <si>
    <t>2</t>
  </si>
  <si>
    <t>How do engagement and inactivity relate to churn?</t>
  </si>
  <si>
    <t>Final duplicate rows</t>
  </si>
  <si>
    <t>3</t>
  </si>
  <si>
    <t>How does customer value relate to churn?</t>
  </si>
  <si>
    <t>4</t>
  </si>
  <si>
    <t>Which valuable, low-engagement customers need attention?</t>
  </si>
  <si>
    <t>Data Quality, Cleaning &amp; Missing-Value Treatment</t>
  </si>
  <si>
    <t>Baseline vs final validation</t>
  </si>
  <si>
    <t>Invalid values identified</t>
  </si>
  <si>
    <t>Raw / Before</t>
  </si>
  <si>
    <t>Final / After</t>
  </si>
  <si>
    <t>Status</t>
  </si>
  <si>
    <t>Issue</t>
  </si>
  <si>
    <t>Count / Result</t>
  </si>
  <si>
    <t>Rows</t>
  </si>
  <si>
    <t>OK</t>
  </si>
  <si>
    <t>Age &lt;18 or &gt;100</t>
  </si>
  <si>
    <t>Columns</t>
  </si>
  <si>
    <t>Expected: +8 engineered/indicator columns</t>
  </si>
  <si>
    <t>Cart abandonment &gt;100</t>
  </si>
  <si>
    <t>Duplicates</t>
  </si>
  <si>
    <t>Discount usage &gt;100</t>
  </si>
  <si>
    <t>Churned</t>
  </si>
  <si>
    <t>Negative total purchases</t>
  </si>
  <si>
    <t>Retained</t>
  </si>
  <si>
    <t>AOV IQR outliers retained</t>
  </si>
  <si>
    <t>Churn rate</t>
  </si>
  <si>
    <t>Missing cells</t>
  </si>
  <si>
    <t>Resolved</t>
  </si>
  <si>
    <t>Updated missing-value profile and treatment</t>
  </si>
  <si>
    <t>Variable</t>
  </si>
  <si>
    <t>Initial Missing</t>
  </si>
  <si>
    <t>After Validation</t>
  </si>
  <si>
    <t>Missing %</t>
  </si>
  <si>
    <t>Median Used</t>
  </si>
  <si>
    <t>Treatment</t>
  </si>
  <si>
    <t>Missing Indicator</t>
  </si>
  <si>
    <t>Social_Media_Engagement_Score</t>
  </si>
  <si>
    <t>Median imputation</t>
  </si>
  <si>
    <t>Yes</t>
  </si>
  <si>
    <t>Credit_Balance</t>
  </si>
  <si>
    <t>Mobile_App_Usage</t>
  </si>
  <si>
    <t>Returns_Rate</t>
  </si>
  <si>
    <t>No</t>
  </si>
  <si>
    <t>Wishlist_Items</t>
  </si>
  <si>
    <t>Discount_Usage_Rate</t>
  </si>
  <si>
    <t>Invalid &gt;100 → NaN, then median</t>
  </si>
  <si>
    <t>Product_Reviews_Written</t>
  </si>
  <si>
    <t>Session_Duration_Avg</t>
  </si>
  <si>
    <t>Pages_Per_Session</t>
  </si>
  <si>
    <t>Days_Since_Last_Purchase</t>
  </si>
  <si>
    <t>Age</t>
  </si>
  <si>
    <t>Invalid age → NaN, then median</t>
  </si>
  <si>
    <t>Email_Open_Rate</t>
  </si>
  <si>
    <t>Payment_Method_Diversity</t>
  </si>
  <si>
    <t>Customer_Service_Calls</t>
  </si>
  <si>
    <t>Total_Purchases</t>
  </si>
  <si>
    <t>Negative values → NaN, then median</t>
  </si>
  <si>
    <t>Cart_Abandonment_Rate</t>
  </si>
  <si>
    <t>Feature Engineering &amp; Customer Segmentation</t>
  </si>
  <si>
    <t>Age Group</t>
  </si>
  <si>
    <t>Segment</t>
  </si>
  <si>
    <t>Rule</t>
  </si>
  <si>
    <t>Customers</t>
  </si>
  <si>
    <t>18-24</t>
  </si>
  <si>
    <t>Age 18–24</t>
  </si>
  <si>
    <t>25-34</t>
  </si>
  <si>
    <t>Age 25–34</t>
  </si>
  <si>
    <t>35-44</t>
  </si>
  <si>
    <t>Age 35–44</t>
  </si>
  <si>
    <t>45-54</t>
  </si>
  <si>
    <t>Age 45–54</t>
  </si>
  <si>
    <t>55-64</t>
  </si>
  <si>
    <t>Age 55–64</t>
  </si>
  <si>
    <t>65+</t>
  </si>
  <si>
    <t>Age 65–100</t>
  </si>
  <si>
    <t>Customer Value Segment</t>
  </si>
  <si>
    <t>Definition</t>
  </si>
  <si>
    <t>Low Value</t>
  </si>
  <si>
    <t>Bottom Lifetime Value quartile</t>
  </si>
  <si>
    <t>Medium Value</t>
  </si>
  <si>
    <t>2nd Lifetime Value quartile</t>
  </si>
  <si>
    <t>High Value</t>
  </si>
  <si>
    <t>3rd Lifetime Value quartile</t>
  </si>
  <si>
    <t>VIP</t>
  </si>
  <si>
    <t>Top Lifetime Value quartile</t>
  </si>
  <si>
    <t>Recency Segment</t>
  </si>
  <si>
    <t>Min days</t>
  </si>
  <si>
    <t>Median days</t>
  </si>
  <si>
    <t>Max days</t>
  </si>
  <si>
    <t>Very Recent</t>
  </si>
  <si>
    <t>Recent</t>
  </si>
  <si>
    <t>Inactive</t>
  </si>
  <si>
    <t>Highly Inactive</t>
  </si>
  <si>
    <t>Engagement Segment</t>
  </si>
  <si>
    <t>Very Low</t>
  </si>
  <si>
    <t>Bottom Engagement Score quartile</t>
  </si>
  <si>
    <t>Low</t>
  </si>
  <si>
    <t>2nd Engagement Score quartile</t>
  </si>
  <si>
    <t>High</t>
  </si>
  <si>
    <t>3rd Engagement Score quartile</t>
  </si>
  <si>
    <t>Very High</t>
  </si>
  <si>
    <t>Top Engagement Score quartile</t>
  </si>
  <si>
    <t>Churn Analysis Summary</t>
  </si>
  <si>
    <t>Overall KPI</t>
  </si>
  <si>
    <t>Churn by Customer Value</t>
  </si>
  <si>
    <t>Churn Rate</t>
  </si>
  <si>
    <t>Churn by Purchase Recency</t>
  </si>
  <si>
    <t>Churn by Engagement</t>
  </si>
  <si>
    <t>Retention Priority Group</t>
  </si>
  <si>
    <t>Group</t>
  </si>
  <si>
    <t>High Value / VIP + Low / Very Low Engagement</t>
  </si>
  <si>
    <t>Key Findings, Recommendations &amp; Limitations</t>
  </si>
  <si>
    <t>Key Findings</t>
  </si>
  <si>
    <t>Finding</t>
  </si>
  <si>
    <t>Evidence</t>
  </si>
  <si>
    <t>Interpretation</t>
  </si>
  <si>
    <t>Overall churn</t>
  </si>
  <si>
    <t>14,450 / 50,000 = 28.9%</t>
  </si>
  <si>
    <t>Churn affects more than one-quarter of the customer base.</t>
  </si>
  <si>
    <t>Very low engagement</t>
  </si>
  <si>
    <t>52.8% churn vs 28.9% overall</t>
  </si>
  <si>
    <t>Lower engagement is strongly associated with higher churn.</t>
  </si>
  <si>
    <t>Purchase inactivity</t>
  </si>
  <si>
    <t>22.4% Very Recent → 38.0% Highly Inactive</t>
  </si>
  <si>
    <t>Churn rises as time since last purchase increases.</t>
  </si>
  <si>
    <t>Customer value</t>
  </si>
  <si>
    <t>High Value 14.4% vs VIP 39.6%</t>
  </si>
  <si>
    <t>Customer value alone does not imply stronger retention.</t>
  </si>
  <si>
    <t>Priority group</t>
  </si>
  <si>
    <t>6,701 customers; 36.4% churn</t>
  </si>
  <si>
    <t>High-value customers with low engagement warrant retention attention.</t>
  </si>
  <si>
    <t>Business Recommendations</t>
  </si>
  <si>
    <t>Prioritise Very Low Engagement customers for re-engagement activity.</t>
  </si>
  <si>
    <t>Use increasing days since last purchase as an early warning signal.</t>
  </si>
  <si>
    <t>Investigate why VIP customers show elevated churn despite high lifetime value.</t>
  </si>
  <si>
    <t>Combine customer value with engagement and recency when prioritising retention.</t>
  </si>
  <si>
    <t>Limitations</t>
  </si>
  <si>
    <t>• The analysis identifies associations with churn, not causal relationships.</t>
  </si>
  <si>
    <t>• Median imputation may reduce some natural variation in variables with missing values.</t>
  </si>
  <si>
    <t>• The Engagement Score is a project-specific composite metric, not an externally validated KPI.</t>
  </si>
  <si>
    <t>• Segments were analytically created rather than supplied as official business definitions.</t>
  </si>
  <si>
    <t>• The dataset does not include a complete transaction-level timeline.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</si>
</sst>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59595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4" xfId="0" applyBorder="1"/>
    <xf numFmtId="164" fontId="0" fillId="0" borderId="4" xfId="0" applyNumberFormat="1" applyBorder="1"/>
    <xf numFmtId="0" fontId="0" fillId="0" borderId="6" xfId="0" applyBorder="1"/>
    <xf numFmtId="0" fontId="0" fillId="0" borderId="3" xfId="0" applyBorder="1"/>
    <xf numFmtId="0" fontId="0" fillId="0" borderId="5" xfId="0" applyBorder="1"/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164" fontId="0" fillId="0" borderId="8" xfId="0" applyNumberFormat="1" applyBorder="1" applyAlignment="1">
      <alignment wrapText="1"/>
    </xf>
    <xf numFmtId="164" fontId="0" fillId="0" borderId="6" xfId="0" applyNumberFormat="1" applyBorder="1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5" fillId="6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Churn Rate</c:v>
          </c:tx>
          <c:invertIfNegative val="1"/>
          <c:cat>
            <c:strRef>
              <c:f>Churn_Analysis!$A$10:$A$13</c:f>
              <c:strCache>
                <c:ptCount val="4"/>
                <c:pt idx="0">
                  <c:v>Low Value</c:v>
                </c:pt>
                <c:pt idx="1">
                  <c:v>Medium Value</c:v>
                </c:pt>
                <c:pt idx="2">
                  <c:v>High Value</c:v>
                </c:pt>
                <c:pt idx="3">
                  <c:v>VIP</c:v>
                </c:pt>
              </c:strCache>
            </c:strRef>
          </c:cat>
          <c:val>
            <c:numRef>
              <c:f>Churn_Analysis!$D$10:$D$13</c:f>
              <c:numCache>
                <c:formatCode>0.0%</c:formatCode>
                <c:ptCount val="4"/>
                <c:pt idx="0">
                  <c:v>0.41295999999999999</c:v>
                </c:pt>
                <c:pt idx="1">
                  <c:v>0.20255999999999999</c:v>
                </c:pt>
                <c:pt idx="2">
                  <c:v>0.14399999999999999</c:v>
                </c:pt>
                <c:pt idx="3">
                  <c:v>0.39648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B-864C-96BC-467B7A1A2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Churn Rate</c:v>
          </c:tx>
          <c:invertIfNegative val="1"/>
          <c:cat>
            <c:strRef>
              <c:f>Churn_Analysis!$A$18:$A$21</c:f>
              <c:strCache>
                <c:ptCount val="4"/>
                <c:pt idx="0">
                  <c:v>Very Recent</c:v>
                </c:pt>
                <c:pt idx="1">
                  <c:v>Recent</c:v>
                </c:pt>
                <c:pt idx="2">
                  <c:v>Inactive</c:v>
                </c:pt>
                <c:pt idx="3">
                  <c:v>Highly Inactive</c:v>
                </c:pt>
              </c:strCache>
            </c:strRef>
          </c:cat>
          <c:val>
            <c:numRef>
              <c:f>Churn_Analysis!$D$18:$D$21</c:f>
              <c:numCache>
                <c:formatCode>0.0%</c:formatCode>
                <c:ptCount val="4"/>
                <c:pt idx="0">
                  <c:v>0.22423376210894078</c:v>
                </c:pt>
                <c:pt idx="1">
                  <c:v>0.26717452474092374</c:v>
                </c:pt>
                <c:pt idx="2">
                  <c:v>0.28936497261984823</c:v>
                </c:pt>
                <c:pt idx="3">
                  <c:v>0.37992918075004023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F-6F41-8BE8-0D82A6D94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Churn Rate</c:v>
          </c:tx>
          <c:invertIfNegative val="1"/>
          <c:cat>
            <c:strRef>
              <c:f>Churn_Analysis!$A$26:$A$29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Churn_Analysis!$D$26:$D$29</c:f>
              <c:numCache>
                <c:formatCode>0.0%</c:formatCode>
                <c:ptCount val="4"/>
                <c:pt idx="0">
                  <c:v>0.52847999999999995</c:v>
                </c:pt>
                <c:pt idx="1">
                  <c:v>0.23208000000000001</c:v>
                </c:pt>
                <c:pt idx="2">
                  <c:v>0.20616000000000001</c:v>
                </c:pt>
                <c:pt idx="3">
                  <c:v>0.18928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1-6B44-8939-464BE3C44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13</xdr:col>
      <xdr:colOff>0</xdr:colOff>
      <xdr:row>44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F2"/>
    </sheetView>
  </sheetViews>
  <sheetFormatPr baseColWidth="10" defaultColWidth="8.83203125" defaultRowHeight="14"/>
  <cols>
    <col min="1" max="1" width="25" customWidth="1"/>
    <col min="2" max="2" width="17" customWidth="1"/>
    <col min="3" max="3" width="3" customWidth="1"/>
    <col min="4" max="4" width="22" customWidth="1"/>
    <col min="5" max="6" width="24" customWidth="1"/>
  </cols>
  <sheetData>
    <row r="1" spans="1:6" ht="32" customHeight="1">
      <c r="A1" s="32" t="s">
        <v>0</v>
      </c>
      <c r="B1" s="32"/>
      <c r="C1" s="32"/>
      <c r="D1" s="32"/>
      <c r="E1" s="32"/>
      <c r="F1" s="32"/>
    </row>
    <row r="2" spans="1:6" ht="32" customHeight="1">
      <c r="A2" s="32"/>
      <c r="B2" s="32"/>
      <c r="C2" s="32"/>
      <c r="D2" s="32"/>
      <c r="E2" s="32"/>
      <c r="F2" s="32"/>
    </row>
    <row r="3" spans="1:6">
      <c r="A3" s="11"/>
      <c r="B3" s="11"/>
      <c r="C3" s="11"/>
      <c r="D3" s="11"/>
      <c r="E3" s="11"/>
      <c r="F3" s="11"/>
    </row>
    <row r="4" spans="1:6" ht="15">
      <c r="A4" s="33" t="s">
        <v>1</v>
      </c>
      <c r="B4" s="33"/>
      <c r="C4" s="33"/>
      <c r="D4" s="33"/>
      <c r="E4" s="33"/>
      <c r="F4" s="33"/>
    </row>
    <row r="5" spans="1:6">
      <c r="A5" s="34" t="s">
        <v>2</v>
      </c>
      <c r="B5" s="34"/>
      <c r="C5" s="34"/>
      <c r="D5" s="34"/>
      <c r="E5" s="34"/>
      <c r="F5" s="34"/>
    </row>
    <row r="6" spans="1:6">
      <c r="A6" s="34"/>
      <c r="B6" s="34"/>
      <c r="C6" s="34"/>
      <c r="D6" s="34"/>
      <c r="E6" s="34"/>
      <c r="F6" s="34"/>
    </row>
    <row r="7" spans="1:6">
      <c r="A7" s="11"/>
      <c r="B7" s="11"/>
      <c r="C7" s="11"/>
      <c r="D7" s="11"/>
      <c r="E7" s="11"/>
      <c r="F7" s="11"/>
    </row>
    <row r="8" spans="1:6" ht="15">
      <c r="A8" s="33" t="s">
        <v>3</v>
      </c>
      <c r="B8" s="33"/>
      <c r="C8" s="33"/>
      <c r="D8" s="33"/>
      <c r="E8" s="33"/>
      <c r="F8" s="33"/>
    </row>
    <row r="9" spans="1:6">
      <c r="A9" s="34" t="s">
        <v>4</v>
      </c>
      <c r="B9" s="34"/>
      <c r="C9" s="34"/>
      <c r="D9" s="34"/>
      <c r="E9" s="34"/>
      <c r="F9" s="34"/>
    </row>
    <row r="10" spans="1:6">
      <c r="A10" s="11"/>
      <c r="B10" s="11"/>
      <c r="C10" s="11"/>
      <c r="D10" s="11"/>
      <c r="E10" s="11"/>
      <c r="F10" s="11"/>
    </row>
    <row r="11" spans="1:6" ht="15">
      <c r="A11" s="33" t="s">
        <v>5</v>
      </c>
      <c r="B11" s="33"/>
      <c r="C11" s="11"/>
      <c r="D11" s="33" t="s">
        <v>6</v>
      </c>
      <c r="E11" s="33"/>
      <c r="F11" s="33"/>
    </row>
    <row r="12" spans="1:6" ht="16">
      <c r="A12" s="3" t="s">
        <v>7</v>
      </c>
      <c r="B12" s="4" t="s">
        <v>8</v>
      </c>
      <c r="C12" s="11"/>
      <c r="D12" s="13" t="s">
        <v>9</v>
      </c>
      <c r="E12" s="14" t="s">
        <v>10</v>
      </c>
      <c r="F12" s="11"/>
    </row>
    <row r="13" spans="1:6" ht="30">
      <c r="A13" s="15" t="s">
        <v>11</v>
      </c>
      <c r="B13" s="16">
        <v>50000</v>
      </c>
      <c r="C13" s="11"/>
      <c r="D13" s="17" t="s">
        <v>12</v>
      </c>
      <c r="E13" s="16" t="s">
        <v>13</v>
      </c>
      <c r="F13" s="11"/>
    </row>
    <row r="14" spans="1:6" ht="16">
      <c r="A14" s="15" t="s">
        <v>14</v>
      </c>
      <c r="B14" s="16">
        <v>25</v>
      </c>
      <c r="C14" s="11"/>
      <c r="D14" s="17" t="s">
        <v>15</v>
      </c>
      <c r="E14" s="16" t="s">
        <v>16</v>
      </c>
      <c r="F14" s="11"/>
    </row>
    <row r="15" spans="1:6" ht="16">
      <c r="A15" s="15" t="s">
        <v>17</v>
      </c>
      <c r="B15" s="16">
        <v>50000</v>
      </c>
      <c r="C15" s="11"/>
      <c r="D15" s="17" t="s">
        <v>18</v>
      </c>
      <c r="E15" s="16" t="s">
        <v>19</v>
      </c>
      <c r="F15" s="11"/>
    </row>
    <row r="16" spans="1:6" ht="30">
      <c r="A16" s="15" t="s">
        <v>20</v>
      </c>
      <c r="B16" s="16">
        <v>33</v>
      </c>
      <c r="C16" s="11"/>
      <c r="D16" s="18" t="s">
        <v>21</v>
      </c>
      <c r="E16" s="19" t="s">
        <v>22</v>
      </c>
      <c r="F16" s="11"/>
    </row>
    <row r="17" spans="1:6" ht="16">
      <c r="A17" s="15" t="s">
        <v>23</v>
      </c>
      <c r="B17" s="16">
        <v>14450</v>
      </c>
      <c r="C17" s="11"/>
      <c r="D17" s="11"/>
      <c r="E17" s="11"/>
      <c r="F17" s="11"/>
    </row>
    <row r="18" spans="1:6" ht="16">
      <c r="A18" s="15" t="s">
        <v>24</v>
      </c>
      <c r="B18" s="16">
        <f>B15-B17</f>
        <v>35550</v>
      </c>
      <c r="C18" s="11"/>
      <c r="D18" s="33" t="s">
        <v>25</v>
      </c>
      <c r="E18" s="33"/>
      <c r="F18" s="33"/>
    </row>
    <row r="19" spans="1:6" ht="16">
      <c r="A19" s="15" t="s">
        <v>26</v>
      </c>
      <c r="B19" s="20">
        <f>B17/B15</f>
        <v>0.28899999999999998</v>
      </c>
      <c r="C19" s="11"/>
      <c r="D19" s="12" t="s">
        <v>27</v>
      </c>
      <c r="E19" s="11" t="s">
        <v>28</v>
      </c>
      <c r="F19" s="11"/>
    </row>
    <row r="20" spans="1:6" ht="30">
      <c r="A20" s="15" t="s">
        <v>29</v>
      </c>
      <c r="B20" s="16">
        <v>0</v>
      </c>
      <c r="C20" s="11"/>
      <c r="D20" s="12" t="s">
        <v>30</v>
      </c>
      <c r="E20" s="11" t="s">
        <v>31</v>
      </c>
      <c r="F20" s="11"/>
    </row>
    <row r="21" spans="1:6" ht="30">
      <c r="A21" s="21" t="s">
        <v>32</v>
      </c>
      <c r="B21" s="19">
        <v>0</v>
      </c>
      <c r="C21" s="11"/>
      <c r="D21" s="12" t="s">
        <v>33</v>
      </c>
      <c r="E21" s="11" t="s">
        <v>34</v>
      </c>
      <c r="F21" s="11"/>
    </row>
    <row r="22" spans="1:6" ht="45">
      <c r="A22" s="11"/>
      <c r="B22" s="11"/>
      <c r="C22" s="11"/>
      <c r="D22" s="12" t="s">
        <v>35</v>
      </c>
      <c r="E22" s="11" t="s">
        <v>36</v>
      </c>
      <c r="F22" s="11"/>
    </row>
  </sheetData>
  <mergeCells count="8">
    <mergeCell ref="A11:B11"/>
    <mergeCell ref="D11:F11"/>
    <mergeCell ref="D18:F18"/>
    <mergeCell ref="A1:F2"/>
    <mergeCell ref="A4:F4"/>
    <mergeCell ref="A5:F6"/>
    <mergeCell ref="A8:F8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topLeftCell="A3" workbookViewId="0">
      <selection activeCell="A33" sqref="A33:G34"/>
    </sheetView>
  </sheetViews>
  <sheetFormatPr baseColWidth="10" defaultColWidth="8.83203125" defaultRowHeight="14"/>
  <cols>
    <col min="1" max="1" width="31" customWidth="1"/>
    <col min="2" max="3" width="14" customWidth="1"/>
    <col min="4" max="4" width="12" customWidth="1"/>
    <col min="5" max="5" width="13" customWidth="1"/>
    <col min="6" max="6" width="33" customWidth="1"/>
    <col min="7" max="7" width="17" customWidth="1"/>
  </cols>
  <sheetData>
    <row r="1" spans="1:7">
      <c r="A1" s="35" t="s">
        <v>37</v>
      </c>
      <c r="B1" s="35"/>
      <c r="C1" s="35"/>
      <c r="D1" s="35"/>
      <c r="E1" s="35"/>
      <c r="F1" s="35"/>
      <c r="G1" s="35"/>
    </row>
    <row r="2" spans="1:7">
      <c r="A2" s="35"/>
      <c r="B2" s="35"/>
      <c r="C2" s="35"/>
      <c r="D2" s="35"/>
      <c r="E2" s="35"/>
      <c r="F2" s="35"/>
      <c r="G2" s="35"/>
    </row>
    <row r="4" spans="1:7" ht="15">
      <c r="A4" s="36" t="s">
        <v>38</v>
      </c>
      <c r="B4" s="36"/>
      <c r="C4" s="36"/>
      <c r="D4" s="36"/>
      <c r="F4" s="36" t="s">
        <v>39</v>
      </c>
      <c r="G4" s="36"/>
    </row>
    <row r="5" spans="1:7" ht="16">
      <c r="A5" s="3" t="s">
        <v>7</v>
      </c>
      <c r="B5" s="22" t="s">
        <v>40</v>
      </c>
      <c r="C5" s="22" t="s">
        <v>41</v>
      </c>
      <c r="D5" s="4" t="s">
        <v>42</v>
      </c>
      <c r="F5" s="3" t="s">
        <v>43</v>
      </c>
      <c r="G5" s="4" t="s">
        <v>44</v>
      </c>
    </row>
    <row r="6" spans="1:7" ht="15">
      <c r="A6" s="8" t="s">
        <v>45</v>
      </c>
      <c r="B6">
        <v>50000</v>
      </c>
      <c r="C6">
        <v>50000</v>
      </c>
      <c r="D6" s="24" t="s">
        <v>46</v>
      </c>
      <c r="F6" s="8" t="s">
        <v>47</v>
      </c>
      <c r="G6" s="5">
        <v>50</v>
      </c>
    </row>
    <row r="7" spans="1:7" ht="60">
      <c r="A7" s="8" t="s">
        <v>48</v>
      </c>
      <c r="B7">
        <v>25</v>
      </c>
      <c r="C7">
        <v>33</v>
      </c>
      <c r="D7" s="24" t="s">
        <v>49</v>
      </c>
      <c r="F7" s="8" t="s">
        <v>50</v>
      </c>
      <c r="G7" s="5">
        <v>30</v>
      </c>
    </row>
    <row r="8" spans="1:7" ht="15">
      <c r="A8" s="8" t="s">
        <v>51</v>
      </c>
      <c r="B8">
        <v>0</v>
      </c>
      <c r="C8">
        <v>0</v>
      </c>
      <c r="D8" s="24" t="s">
        <v>46</v>
      </c>
      <c r="F8" s="8" t="s">
        <v>52</v>
      </c>
      <c r="G8" s="5">
        <v>207</v>
      </c>
    </row>
    <row r="9" spans="1:7" ht="15">
      <c r="A9" s="8" t="s">
        <v>53</v>
      </c>
      <c r="B9">
        <v>14450</v>
      </c>
      <c r="C9">
        <v>14450</v>
      </c>
      <c r="D9" s="24" t="s">
        <v>46</v>
      </c>
      <c r="F9" s="8" t="s">
        <v>54</v>
      </c>
      <c r="G9" s="5">
        <v>40</v>
      </c>
    </row>
    <row r="10" spans="1:7" ht="15">
      <c r="A10" s="8" t="s">
        <v>55</v>
      </c>
      <c r="B10">
        <v>35550</v>
      </c>
      <c r="C10">
        <v>35550</v>
      </c>
      <c r="D10" s="24" t="s">
        <v>46</v>
      </c>
      <c r="F10" s="9" t="s">
        <v>56</v>
      </c>
      <c r="G10" s="7">
        <v>1005</v>
      </c>
    </row>
    <row r="11" spans="1:7" ht="15">
      <c r="A11" s="8" t="s">
        <v>57</v>
      </c>
      <c r="B11" s="2">
        <v>0.28899999999999998</v>
      </c>
      <c r="C11" s="2">
        <v>0.28899999999999998</v>
      </c>
      <c r="D11" s="24" t="s">
        <v>46</v>
      </c>
    </row>
    <row r="12" spans="1:7" ht="15">
      <c r="A12" s="9" t="s">
        <v>58</v>
      </c>
      <c r="B12" s="23">
        <v>49081</v>
      </c>
      <c r="C12" s="23">
        <v>0</v>
      </c>
      <c r="D12" s="25" t="s">
        <v>59</v>
      </c>
    </row>
    <row r="14" spans="1:7" ht="15">
      <c r="A14" s="36" t="s">
        <v>60</v>
      </c>
      <c r="B14" s="36"/>
      <c r="C14" s="36"/>
      <c r="D14" s="36"/>
      <c r="E14" s="36"/>
      <c r="F14" s="36"/>
      <c r="G14" s="36"/>
    </row>
    <row r="15" spans="1:7" ht="32">
      <c r="A15" s="3" t="s">
        <v>61</v>
      </c>
      <c r="B15" s="22" t="s">
        <v>62</v>
      </c>
      <c r="C15" s="22" t="s">
        <v>63</v>
      </c>
      <c r="D15" s="22" t="s">
        <v>64</v>
      </c>
      <c r="E15" s="22" t="s">
        <v>65</v>
      </c>
      <c r="F15" s="22" t="s">
        <v>66</v>
      </c>
      <c r="G15" s="4" t="s">
        <v>67</v>
      </c>
    </row>
    <row r="16" spans="1:7" ht="15">
      <c r="A16" s="26" t="s">
        <v>68</v>
      </c>
      <c r="B16" s="1">
        <v>6000</v>
      </c>
      <c r="C16" s="1">
        <v>6000</v>
      </c>
      <c r="D16" s="27">
        <f>C16/Summary!$B$15</f>
        <v>0.12</v>
      </c>
      <c r="E16" s="1">
        <v>27.6</v>
      </c>
      <c r="F16" s="1" t="s">
        <v>69</v>
      </c>
      <c r="G16" s="24" t="s">
        <v>70</v>
      </c>
    </row>
    <row r="17" spans="1:7" ht="15">
      <c r="A17" s="26" t="s">
        <v>71</v>
      </c>
      <c r="B17" s="1">
        <v>5500</v>
      </c>
      <c r="C17" s="1">
        <v>5500</v>
      </c>
      <c r="D17" s="27">
        <f>C17/Summary!$B$15</f>
        <v>0.11</v>
      </c>
      <c r="E17" s="1">
        <v>1896</v>
      </c>
      <c r="F17" s="1" t="s">
        <v>69</v>
      </c>
      <c r="G17" s="24" t="s">
        <v>70</v>
      </c>
    </row>
    <row r="18" spans="1:7" ht="15">
      <c r="A18" s="26" t="s">
        <v>72</v>
      </c>
      <c r="B18" s="1">
        <v>5000</v>
      </c>
      <c r="C18" s="1">
        <v>5000</v>
      </c>
      <c r="D18" s="27">
        <f>C18/Summary!$B$15</f>
        <v>0.1</v>
      </c>
      <c r="E18" s="1">
        <v>18.600000000000001</v>
      </c>
      <c r="F18" s="1" t="s">
        <v>69</v>
      </c>
      <c r="G18" s="24" t="s">
        <v>70</v>
      </c>
    </row>
    <row r="19" spans="1:7" ht="15">
      <c r="A19" s="26" t="s">
        <v>73</v>
      </c>
      <c r="B19" s="1">
        <v>4491</v>
      </c>
      <c r="C19" s="1">
        <v>4491</v>
      </c>
      <c r="D19" s="27">
        <f>C19/Summary!$B$15</f>
        <v>8.9819999999999997E-2</v>
      </c>
      <c r="E19" s="1">
        <v>5.4</v>
      </c>
      <c r="F19" s="1" t="s">
        <v>69</v>
      </c>
      <c r="G19" s="24" t="s">
        <v>74</v>
      </c>
    </row>
    <row r="20" spans="1:7" ht="15">
      <c r="A20" s="26" t="s">
        <v>75</v>
      </c>
      <c r="B20" s="1">
        <v>4000</v>
      </c>
      <c r="C20" s="1">
        <v>4000</v>
      </c>
      <c r="D20" s="27">
        <f>C20/Summary!$B$15</f>
        <v>0.08</v>
      </c>
      <c r="E20" s="1">
        <v>4</v>
      </c>
      <c r="F20" s="1" t="s">
        <v>69</v>
      </c>
      <c r="G20" s="24" t="s">
        <v>74</v>
      </c>
    </row>
    <row r="21" spans="1:7" ht="15">
      <c r="A21" s="26" t="s">
        <v>76</v>
      </c>
      <c r="B21" s="1">
        <v>3500</v>
      </c>
      <c r="C21" s="1">
        <v>3707</v>
      </c>
      <c r="D21" s="27">
        <f>C21/Summary!$B$15</f>
        <v>7.4139999999999998E-2</v>
      </c>
      <c r="E21" s="1">
        <v>40.1</v>
      </c>
      <c r="F21" s="1" t="s">
        <v>77</v>
      </c>
      <c r="G21" s="24" t="s">
        <v>74</v>
      </c>
    </row>
    <row r="22" spans="1:7" ht="15">
      <c r="A22" s="26" t="s">
        <v>78</v>
      </c>
      <c r="B22" s="1">
        <v>3500</v>
      </c>
      <c r="C22" s="1">
        <v>3500</v>
      </c>
      <c r="D22" s="27">
        <f>C22/Summary!$B$15</f>
        <v>7.0000000000000007E-2</v>
      </c>
      <c r="E22" s="1">
        <v>2</v>
      </c>
      <c r="F22" s="1" t="s">
        <v>69</v>
      </c>
      <c r="G22" s="24" t="s">
        <v>74</v>
      </c>
    </row>
    <row r="23" spans="1:7" ht="15">
      <c r="A23" s="26" t="s">
        <v>79</v>
      </c>
      <c r="B23" s="1">
        <v>3399</v>
      </c>
      <c r="C23" s="1">
        <v>3399</v>
      </c>
      <c r="D23" s="27">
        <f>C23/Summary!$B$15</f>
        <v>6.7979999999999999E-2</v>
      </c>
      <c r="E23" s="1">
        <v>26.8</v>
      </c>
      <c r="F23" s="1" t="s">
        <v>69</v>
      </c>
      <c r="G23" s="24" t="s">
        <v>74</v>
      </c>
    </row>
    <row r="24" spans="1:7" ht="15">
      <c r="A24" s="26" t="s">
        <v>80</v>
      </c>
      <c r="B24" s="1">
        <v>3000</v>
      </c>
      <c r="C24" s="1">
        <v>3000</v>
      </c>
      <c r="D24" s="27">
        <f>C24/Summary!$B$15</f>
        <v>0.06</v>
      </c>
      <c r="E24" s="1">
        <v>8.4</v>
      </c>
      <c r="F24" s="1" t="s">
        <v>69</v>
      </c>
      <c r="G24" s="24" t="s">
        <v>74</v>
      </c>
    </row>
    <row r="25" spans="1:7" ht="15">
      <c r="A25" s="26" t="s">
        <v>81</v>
      </c>
      <c r="B25" s="1">
        <v>3000</v>
      </c>
      <c r="C25" s="1">
        <v>3000</v>
      </c>
      <c r="D25" s="27">
        <f>C25/Summary!$B$15</f>
        <v>0.06</v>
      </c>
      <c r="E25" s="1">
        <v>21</v>
      </c>
      <c r="F25" s="1" t="s">
        <v>69</v>
      </c>
      <c r="G25" s="24" t="s">
        <v>74</v>
      </c>
    </row>
    <row r="26" spans="1:7" ht="15">
      <c r="A26" s="26" t="s">
        <v>82</v>
      </c>
      <c r="B26" s="1">
        <v>2495</v>
      </c>
      <c r="C26" s="1">
        <v>2545</v>
      </c>
      <c r="D26" s="27">
        <f>C26/Summary!$B$15</f>
        <v>5.0900000000000001E-2</v>
      </c>
      <c r="E26" s="1">
        <v>38</v>
      </c>
      <c r="F26" s="1" t="s">
        <v>83</v>
      </c>
      <c r="G26" s="24" t="s">
        <v>74</v>
      </c>
    </row>
    <row r="27" spans="1:7" ht="15">
      <c r="A27" s="26" t="s">
        <v>84</v>
      </c>
      <c r="B27" s="1">
        <v>2528</v>
      </c>
      <c r="C27" s="1">
        <v>2528</v>
      </c>
      <c r="D27" s="27">
        <f>C27/Summary!$B$15</f>
        <v>5.0560000000000001E-2</v>
      </c>
      <c r="E27" s="1">
        <v>19.7</v>
      </c>
      <c r="F27" s="1" t="s">
        <v>69</v>
      </c>
      <c r="G27" s="24" t="s">
        <v>74</v>
      </c>
    </row>
    <row r="28" spans="1:7" ht="15">
      <c r="A28" s="26" t="s">
        <v>85</v>
      </c>
      <c r="B28" s="1">
        <v>2500</v>
      </c>
      <c r="C28" s="1">
        <v>2500</v>
      </c>
      <c r="D28" s="27">
        <f>C28/Summary!$B$15</f>
        <v>0.05</v>
      </c>
      <c r="E28" s="1">
        <v>2</v>
      </c>
      <c r="F28" s="1" t="s">
        <v>69</v>
      </c>
      <c r="G28" s="24" t="s">
        <v>74</v>
      </c>
    </row>
    <row r="29" spans="1:7" ht="15">
      <c r="A29" s="26" t="s">
        <v>86</v>
      </c>
      <c r="B29" s="1">
        <v>168</v>
      </c>
      <c r="C29" s="1">
        <v>168</v>
      </c>
      <c r="D29" s="27">
        <f>C29/Summary!$B$15</f>
        <v>3.3600000000000001E-3</v>
      </c>
      <c r="E29" s="1">
        <v>5</v>
      </c>
      <c r="F29" s="1" t="s">
        <v>69</v>
      </c>
      <c r="G29" s="24" t="s">
        <v>74</v>
      </c>
    </row>
    <row r="30" spans="1:7" ht="15">
      <c r="A30" s="26" t="s">
        <v>87</v>
      </c>
      <c r="B30" s="1">
        <v>0</v>
      </c>
      <c r="C30" s="1">
        <v>40</v>
      </c>
      <c r="D30" s="27">
        <f>C30/Summary!$B$15</f>
        <v>8.0000000000000004E-4</v>
      </c>
      <c r="E30" s="1">
        <v>12</v>
      </c>
      <c r="F30" s="1" t="s">
        <v>88</v>
      </c>
      <c r="G30" s="24" t="s">
        <v>74</v>
      </c>
    </row>
    <row r="31" spans="1:7" ht="15">
      <c r="A31" s="28" t="s">
        <v>89</v>
      </c>
      <c r="B31" s="29">
        <v>0</v>
      </c>
      <c r="C31" s="29">
        <v>30</v>
      </c>
      <c r="D31" s="30">
        <f>C31/Summary!$B$15</f>
        <v>5.9999999999999995E-4</v>
      </c>
      <c r="E31" s="29">
        <v>58.1</v>
      </c>
      <c r="F31" s="29" t="s">
        <v>77</v>
      </c>
      <c r="G31" s="25" t="s">
        <v>74</v>
      </c>
    </row>
    <row r="33" spans="1:7">
      <c r="A33" s="37"/>
      <c r="B33" s="37"/>
      <c r="C33" s="37"/>
      <c r="D33" s="37"/>
      <c r="E33" s="37"/>
      <c r="F33" s="37"/>
      <c r="G33" s="37"/>
    </row>
    <row r="34" spans="1:7">
      <c r="A34" s="37"/>
      <c r="B34" s="37"/>
      <c r="C34" s="37"/>
      <c r="D34" s="37"/>
      <c r="E34" s="37"/>
      <c r="F34" s="37"/>
      <c r="G34" s="37"/>
    </row>
  </sheetData>
  <mergeCells count="5">
    <mergeCell ref="A1:G2"/>
    <mergeCell ref="A4:D4"/>
    <mergeCell ref="F4:G4"/>
    <mergeCell ref="A14:G14"/>
    <mergeCell ref="A33:G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selection activeCell="A34" sqref="A34:E36"/>
    </sheetView>
  </sheetViews>
  <sheetFormatPr baseColWidth="10" defaultColWidth="8.83203125" defaultRowHeight="14"/>
  <cols>
    <col min="1" max="1" width="22" customWidth="1"/>
    <col min="2" max="2" width="35" customWidth="1"/>
    <col min="3" max="5" width="14" customWidth="1"/>
  </cols>
  <sheetData>
    <row r="1" spans="1:5">
      <c r="A1" s="35" t="s">
        <v>90</v>
      </c>
      <c r="B1" s="35"/>
      <c r="C1" s="35"/>
      <c r="D1" s="35"/>
      <c r="E1" s="35"/>
    </row>
    <row r="2" spans="1:5">
      <c r="A2" s="35"/>
      <c r="B2" s="35"/>
      <c r="C2" s="35"/>
      <c r="D2" s="35"/>
      <c r="E2" s="35"/>
    </row>
    <row r="4" spans="1:5" ht="15">
      <c r="A4" s="36" t="s">
        <v>91</v>
      </c>
      <c r="B4" s="36"/>
      <c r="C4" s="36"/>
    </row>
    <row r="5" spans="1:5" ht="16">
      <c r="A5" s="3" t="s">
        <v>92</v>
      </c>
      <c r="B5" s="22" t="s">
        <v>93</v>
      </c>
      <c r="C5" s="4" t="s">
        <v>94</v>
      </c>
    </row>
    <row r="6" spans="1:5">
      <c r="A6" s="8" t="s">
        <v>95</v>
      </c>
      <c r="B6" t="s">
        <v>96</v>
      </c>
      <c r="C6" s="5">
        <v>6637</v>
      </c>
    </row>
    <row r="7" spans="1:5">
      <c r="A7" s="8" t="s">
        <v>97</v>
      </c>
      <c r="B7" t="s">
        <v>98</v>
      </c>
      <c r="C7" s="5">
        <v>12382</v>
      </c>
    </row>
    <row r="8" spans="1:5">
      <c r="A8" s="8" t="s">
        <v>99</v>
      </c>
      <c r="B8" t="s">
        <v>100</v>
      </c>
      <c r="C8" s="5">
        <v>17690</v>
      </c>
    </row>
    <row r="9" spans="1:5">
      <c r="A9" s="8" t="s">
        <v>101</v>
      </c>
      <c r="B9" t="s">
        <v>102</v>
      </c>
      <c r="C9" s="5">
        <v>9548</v>
      </c>
    </row>
    <row r="10" spans="1:5">
      <c r="A10" s="8" t="s">
        <v>103</v>
      </c>
      <c r="B10" t="s">
        <v>104</v>
      </c>
      <c r="C10" s="5">
        <v>3187</v>
      </c>
    </row>
    <row r="11" spans="1:5">
      <c r="A11" s="9" t="s">
        <v>105</v>
      </c>
      <c r="B11" s="23" t="s">
        <v>106</v>
      </c>
      <c r="C11" s="7">
        <v>556</v>
      </c>
    </row>
    <row r="13" spans="1:5" ht="15">
      <c r="A13" s="36" t="s">
        <v>107</v>
      </c>
      <c r="B13" s="36"/>
      <c r="C13" s="36"/>
    </row>
    <row r="14" spans="1:5" ht="16">
      <c r="A14" s="3" t="s">
        <v>92</v>
      </c>
      <c r="B14" s="22" t="s">
        <v>108</v>
      </c>
      <c r="C14" s="4" t="s">
        <v>94</v>
      </c>
    </row>
    <row r="15" spans="1:5">
      <c r="A15" s="8" t="s">
        <v>109</v>
      </c>
      <c r="B15" t="s">
        <v>110</v>
      </c>
      <c r="C15" s="5">
        <v>12500</v>
      </c>
    </row>
    <row r="16" spans="1:5">
      <c r="A16" s="8" t="s">
        <v>111</v>
      </c>
      <c r="B16" t="s">
        <v>112</v>
      </c>
      <c r="C16" s="5">
        <v>12500</v>
      </c>
    </row>
    <row r="17" spans="1:5">
      <c r="A17" s="8" t="s">
        <v>113</v>
      </c>
      <c r="B17" t="s">
        <v>114</v>
      </c>
      <c r="C17" s="5">
        <v>12500</v>
      </c>
    </row>
    <row r="18" spans="1:5">
      <c r="A18" s="9" t="s">
        <v>115</v>
      </c>
      <c r="B18" s="23" t="s">
        <v>116</v>
      </c>
      <c r="C18" s="7">
        <v>12500</v>
      </c>
    </row>
    <row r="20" spans="1:5" ht="15">
      <c r="A20" s="36" t="s">
        <v>117</v>
      </c>
      <c r="B20" s="36"/>
      <c r="C20" s="36"/>
      <c r="D20" s="36"/>
      <c r="E20" s="36"/>
    </row>
    <row r="21" spans="1:5" ht="16">
      <c r="A21" s="3" t="s">
        <v>92</v>
      </c>
      <c r="B21" s="22" t="s">
        <v>94</v>
      </c>
      <c r="C21" s="22" t="s">
        <v>118</v>
      </c>
      <c r="D21" s="22" t="s">
        <v>119</v>
      </c>
      <c r="E21" s="4" t="s">
        <v>120</v>
      </c>
    </row>
    <row r="22" spans="1:5">
      <c r="A22" s="8" t="s">
        <v>121</v>
      </c>
      <c r="B22">
        <v>12594</v>
      </c>
      <c r="C22">
        <v>0</v>
      </c>
      <c r="D22">
        <v>4</v>
      </c>
      <c r="E22" s="5">
        <v>9</v>
      </c>
    </row>
    <row r="23" spans="1:5">
      <c r="A23" s="8" t="s">
        <v>122</v>
      </c>
      <c r="B23">
        <v>14571</v>
      </c>
      <c r="C23">
        <v>10</v>
      </c>
      <c r="D23">
        <v>16</v>
      </c>
      <c r="E23" s="5">
        <v>21</v>
      </c>
    </row>
    <row r="24" spans="1:5">
      <c r="A24" s="8" t="s">
        <v>123</v>
      </c>
      <c r="B24">
        <v>10409</v>
      </c>
      <c r="C24">
        <v>22</v>
      </c>
      <c r="D24">
        <v>29</v>
      </c>
      <c r="E24" s="5">
        <v>39</v>
      </c>
    </row>
    <row r="25" spans="1:5">
      <c r="A25" s="9" t="s">
        <v>124</v>
      </c>
      <c r="B25" s="23">
        <v>12426</v>
      </c>
      <c r="C25" s="23">
        <v>40</v>
      </c>
      <c r="D25" s="23">
        <v>60</v>
      </c>
      <c r="E25" s="7">
        <v>287</v>
      </c>
    </row>
    <row r="27" spans="1:5" ht="15">
      <c r="A27" s="36" t="s">
        <v>125</v>
      </c>
      <c r="B27" s="36"/>
      <c r="C27" s="36"/>
    </row>
    <row r="28" spans="1:5" ht="16">
      <c r="A28" s="3" t="s">
        <v>92</v>
      </c>
      <c r="B28" s="22" t="s">
        <v>108</v>
      </c>
      <c r="C28" s="4" t="s">
        <v>94</v>
      </c>
    </row>
    <row r="29" spans="1:5">
      <c r="A29" s="8" t="s">
        <v>126</v>
      </c>
      <c r="B29" t="s">
        <v>127</v>
      </c>
      <c r="C29" s="5">
        <v>12500</v>
      </c>
    </row>
    <row r="30" spans="1:5">
      <c r="A30" s="8" t="s">
        <v>128</v>
      </c>
      <c r="B30" t="s">
        <v>129</v>
      </c>
      <c r="C30" s="5">
        <v>12500</v>
      </c>
    </row>
    <row r="31" spans="1:5">
      <c r="A31" s="8" t="s">
        <v>130</v>
      </c>
      <c r="B31" t="s">
        <v>131</v>
      </c>
      <c r="C31" s="5">
        <v>12500</v>
      </c>
    </row>
    <row r="32" spans="1:5">
      <c r="A32" s="9" t="s">
        <v>132</v>
      </c>
      <c r="B32" s="23" t="s">
        <v>133</v>
      </c>
      <c r="C32" s="7">
        <v>12500</v>
      </c>
    </row>
    <row r="34" spans="1:5">
      <c r="A34" s="37"/>
      <c r="B34" s="37"/>
      <c r="C34" s="37"/>
      <c r="D34" s="37"/>
      <c r="E34" s="37"/>
    </row>
    <row r="35" spans="1:5">
      <c r="A35" s="37"/>
      <c r="B35" s="37"/>
      <c r="C35" s="37"/>
      <c r="D35" s="37"/>
      <c r="E35" s="37"/>
    </row>
    <row r="36" spans="1:5">
      <c r="A36" s="37"/>
      <c r="B36" s="37"/>
      <c r="C36" s="37"/>
      <c r="D36" s="37"/>
      <c r="E36" s="37"/>
    </row>
  </sheetData>
  <mergeCells count="6">
    <mergeCell ref="A34:E36"/>
    <mergeCell ref="A1:E2"/>
    <mergeCell ref="A4:C4"/>
    <mergeCell ref="A13:C13"/>
    <mergeCell ref="A20:E20"/>
    <mergeCell ref="A27:C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topLeftCell="A10" workbookViewId="0">
      <selection sqref="A1:M2"/>
    </sheetView>
  </sheetViews>
  <sheetFormatPr baseColWidth="10" defaultColWidth="8.83203125" defaultRowHeight="14"/>
  <cols>
    <col min="1" max="1" width="42" customWidth="1"/>
    <col min="2" max="4" width="14" customWidth="1"/>
  </cols>
  <sheetData>
    <row r="1" spans="1:13">
      <c r="A1" s="35" t="s">
        <v>134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4" spans="1:13" ht="16">
      <c r="A4" s="3" t="s">
        <v>135</v>
      </c>
      <c r="B4" s="4" t="s">
        <v>8</v>
      </c>
    </row>
    <row r="5" spans="1:13">
      <c r="A5" s="8" t="s">
        <v>26</v>
      </c>
      <c r="B5" s="6">
        <f>Summary!B19</f>
        <v>0.28899999999999998</v>
      </c>
    </row>
    <row r="6" spans="1:13">
      <c r="A6" s="9" t="s">
        <v>23</v>
      </c>
      <c r="B6" s="7">
        <v>14450</v>
      </c>
    </row>
    <row r="8" spans="1:13" ht="15">
      <c r="A8" s="36" t="s">
        <v>136</v>
      </c>
      <c r="B8" s="36"/>
      <c r="C8" s="36"/>
      <c r="D8" s="36"/>
    </row>
    <row r="9" spans="1:13" ht="16">
      <c r="A9" s="3" t="s">
        <v>92</v>
      </c>
      <c r="B9" s="22" t="s">
        <v>94</v>
      </c>
      <c r="C9" s="22" t="s">
        <v>53</v>
      </c>
      <c r="D9" s="4" t="s">
        <v>137</v>
      </c>
    </row>
    <row r="10" spans="1:13">
      <c r="A10" s="8" t="s">
        <v>109</v>
      </c>
      <c r="B10">
        <v>12500</v>
      </c>
      <c r="C10">
        <v>5162</v>
      </c>
      <c r="D10" s="6">
        <f>C10/B10</f>
        <v>0.41295999999999999</v>
      </c>
    </row>
    <row r="11" spans="1:13">
      <c r="A11" s="8" t="s">
        <v>111</v>
      </c>
      <c r="B11">
        <v>12500</v>
      </c>
      <c r="C11">
        <v>2532</v>
      </c>
      <c r="D11" s="6">
        <f>C11/B11</f>
        <v>0.20255999999999999</v>
      </c>
    </row>
    <row r="12" spans="1:13">
      <c r="A12" s="8" t="s">
        <v>113</v>
      </c>
      <c r="B12">
        <v>12500</v>
      </c>
      <c r="C12">
        <v>1800</v>
      </c>
      <c r="D12" s="6">
        <f>C12/B12</f>
        <v>0.14399999999999999</v>
      </c>
    </row>
    <row r="13" spans="1:13">
      <c r="A13" s="9" t="s">
        <v>115</v>
      </c>
      <c r="B13" s="23">
        <v>12500</v>
      </c>
      <c r="C13" s="23">
        <v>4956</v>
      </c>
      <c r="D13" s="31">
        <f>C13/B13</f>
        <v>0.39648</v>
      </c>
    </row>
    <row r="16" spans="1:13" ht="15">
      <c r="A16" s="36" t="s">
        <v>138</v>
      </c>
      <c r="B16" s="36"/>
      <c r="C16" s="36"/>
      <c r="D16" s="36"/>
    </row>
    <row r="17" spans="1:4" ht="16">
      <c r="A17" s="3" t="s">
        <v>92</v>
      </c>
      <c r="B17" s="22" t="s">
        <v>94</v>
      </c>
      <c r="C17" s="22" t="s">
        <v>53</v>
      </c>
      <c r="D17" s="4" t="s">
        <v>137</v>
      </c>
    </row>
    <row r="18" spans="1:4">
      <c r="A18" s="8" t="s">
        <v>121</v>
      </c>
      <c r="B18">
        <v>12594</v>
      </c>
      <c r="C18">
        <v>2824</v>
      </c>
      <c r="D18" s="6">
        <f>C18/B18</f>
        <v>0.22423376210894078</v>
      </c>
    </row>
    <row r="19" spans="1:4">
      <c r="A19" s="8" t="s">
        <v>122</v>
      </c>
      <c r="B19">
        <v>14571</v>
      </c>
      <c r="C19">
        <v>3893</v>
      </c>
      <c r="D19" s="6">
        <f>C19/B19</f>
        <v>0.26717452474092374</v>
      </c>
    </row>
    <row r="20" spans="1:4">
      <c r="A20" s="8" t="s">
        <v>123</v>
      </c>
      <c r="B20">
        <v>10409</v>
      </c>
      <c r="C20">
        <v>3012</v>
      </c>
      <c r="D20" s="6">
        <f>C20/B20</f>
        <v>0.28936497261984823</v>
      </c>
    </row>
    <row r="21" spans="1:4">
      <c r="A21" s="9" t="s">
        <v>124</v>
      </c>
      <c r="B21" s="23">
        <v>12426</v>
      </c>
      <c r="C21" s="23">
        <v>4721</v>
      </c>
      <c r="D21" s="31">
        <f>C21/B21</f>
        <v>0.37992918075004023</v>
      </c>
    </row>
    <row r="24" spans="1:4" ht="15">
      <c r="A24" s="36" t="s">
        <v>139</v>
      </c>
      <c r="B24" s="36"/>
      <c r="C24" s="36"/>
      <c r="D24" s="36"/>
    </row>
    <row r="25" spans="1:4" ht="16">
      <c r="A25" s="3" t="s">
        <v>92</v>
      </c>
      <c r="B25" s="22" t="s">
        <v>94</v>
      </c>
      <c r="C25" s="22" t="s">
        <v>53</v>
      </c>
      <c r="D25" s="4" t="s">
        <v>137</v>
      </c>
    </row>
    <row r="26" spans="1:4">
      <c r="A26" s="8" t="s">
        <v>126</v>
      </c>
      <c r="B26">
        <v>12500</v>
      </c>
      <c r="C26">
        <v>6606</v>
      </c>
      <c r="D26" s="6">
        <f>C26/B26</f>
        <v>0.52847999999999995</v>
      </c>
    </row>
    <row r="27" spans="1:4">
      <c r="A27" s="8" t="s">
        <v>128</v>
      </c>
      <c r="B27">
        <v>12500</v>
      </c>
      <c r="C27">
        <v>2901</v>
      </c>
      <c r="D27" s="6">
        <f>C27/B27</f>
        <v>0.23208000000000001</v>
      </c>
    </row>
    <row r="28" spans="1:4">
      <c r="A28" s="8" t="s">
        <v>130</v>
      </c>
      <c r="B28">
        <v>12500</v>
      </c>
      <c r="C28">
        <v>2577</v>
      </c>
      <c r="D28" s="6">
        <f>C28/B28</f>
        <v>0.20616000000000001</v>
      </c>
    </row>
    <row r="29" spans="1:4">
      <c r="A29" s="9" t="s">
        <v>132</v>
      </c>
      <c r="B29" s="23">
        <v>12500</v>
      </c>
      <c r="C29" s="23">
        <v>2366</v>
      </c>
      <c r="D29" s="31">
        <f>C29/B29</f>
        <v>0.18928</v>
      </c>
    </row>
    <row r="32" spans="1:4" ht="15">
      <c r="A32" s="36" t="s">
        <v>140</v>
      </c>
      <c r="B32" s="36"/>
      <c r="C32" s="36"/>
      <c r="D32" s="36"/>
    </row>
    <row r="33" spans="1:4" ht="16">
      <c r="A33" s="3" t="s">
        <v>141</v>
      </c>
      <c r="B33" s="22" t="s">
        <v>94</v>
      </c>
      <c r="C33" s="22" t="s">
        <v>53</v>
      </c>
      <c r="D33" s="4" t="s">
        <v>137</v>
      </c>
    </row>
    <row r="34" spans="1:4">
      <c r="A34" s="9" t="s">
        <v>142</v>
      </c>
      <c r="B34" s="23">
        <v>6701</v>
      </c>
      <c r="C34" s="23">
        <v>2442</v>
      </c>
      <c r="D34" s="31">
        <f>C34/B34</f>
        <v>0.36442322041486347</v>
      </c>
    </row>
  </sheetData>
  <mergeCells count="5">
    <mergeCell ref="A1:M2"/>
    <mergeCell ref="A8:D8"/>
    <mergeCell ref="A16:D16"/>
    <mergeCell ref="A24:D24"/>
    <mergeCell ref="A32:D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>
      <selection activeCell="A25" sqref="A25:F26"/>
    </sheetView>
  </sheetViews>
  <sheetFormatPr baseColWidth="10" defaultColWidth="8.83203125" defaultRowHeight="14"/>
  <cols>
    <col min="1" max="1" width="24" customWidth="1"/>
    <col min="2" max="2" width="38" customWidth="1"/>
    <col min="3" max="3" width="55" customWidth="1"/>
    <col min="4" max="6" width="15" customWidth="1"/>
  </cols>
  <sheetData>
    <row r="1" spans="1:6">
      <c r="A1" s="35" t="s">
        <v>143</v>
      </c>
      <c r="B1" s="35"/>
      <c r="C1" s="35"/>
      <c r="D1" s="35"/>
      <c r="E1" s="35"/>
      <c r="F1" s="35"/>
    </row>
    <row r="2" spans="1:6">
      <c r="A2" s="35"/>
      <c r="B2" s="35"/>
      <c r="C2" s="35"/>
      <c r="D2" s="35"/>
      <c r="E2" s="35"/>
      <c r="F2" s="35"/>
    </row>
    <row r="4" spans="1:6" ht="15">
      <c r="A4" s="36" t="s">
        <v>144</v>
      </c>
      <c r="B4" s="36"/>
      <c r="C4" s="36"/>
      <c r="D4" s="36"/>
      <c r="E4" s="36"/>
      <c r="F4" s="36"/>
    </row>
    <row r="5" spans="1:6" ht="16">
      <c r="A5" s="3" t="s">
        <v>145</v>
      </c>
      <c r="B5" s="22" t="s">
        <v>146</v>
      </c>
      <c r="C5" s="4" t="s">
        <v>147</v>
      </c>
    </row>
    <row r="6" spans="1:6" ht="15">
      <c r="A6" s="26" t="s">
        <v>148</v>
      </c>
      <c r="B6" s="1" t="s">
        <v>149</v>
      </c>
      <c r="C6" s="24" t="s">
        <v>150</v>
      </c>
    </row>
    <row r="7" spans="1:6" ht="15">
      <c r="A7" s="26" t="s">
        <v>151</v>
      </c>
      <c r="B7" s="1" t="s">
        <v>152</v>
      </c>
      <c r="C7" s="24" t="s">
        <v>153</v>
      </c>
    </row>
    <row r="8" spans="1:6" ht="15">
      <c r="A8" s="26" t="s">
        <v>154</v>
      </c>
      <c r="B8" s="1" t="s">
        <v>155</v>
      </c>
      <c r="C8" s="24" t="s">
        <v>156</v>
      </c>
    </row>
    <row r="9" spans="1:6" ht="15">
      <c r="A9" s="26" t="s">
        <v>157</v>
      </c>
      <c r="B9" s="1" t="s">
        <v>158</v>
      </c>
      <c r="C9" s="24" t="s">
        <v>159</v>
      </c>
    </row>
    <row r="10" spans="1:6" ht="30">
      <c r="A10" s="28" t="s">
        <v>160</v>
      </c>
      <c r="B10" s="29" t="s">
        <v>161</v>
      </c>
      <c r="C10" s="25" t="s">
        <v>162</v>
      </c>
    </row>
    <row r="12" spans="1:6" ht="15">
      <c r="A12" s="36" t="s">
        <v>163</v>
      </c>
      <c r="B12" s="36"/>
      <c r="C12" s="36"/>
      <c r="D12" s="36"/>
      <c r="E12" s="36"/>
      <c r="F12" s="36"/>
    </row>
    <row r="13" spans="1:6" ht="16">
      <c r="A13" s="10" t="s">
        <v>27</v>
      </c>
      <c r="B13" s="38" t="s">
        <v>164</v>
      </c>
      <c r="C13" s="38"/>
      <c r="D13" s="38"/>
      <c r="E13" s="38"/>
      <c r="F13" s="38"/>
    </row>
    <row r="14" spans="1:6" ht="16">
      <c r="A14" s="10" t="s">
        <v>30</v>
      </c>
      <c r="B14" s="38" t="s">
        <v>165</v>
      </c>
      <c r="C14" s="38"/>
      <c r="D14" s="38"/>
      <c r="E14" s="38"/>
      <c r="F14" s="38"/>
    </row>
    <row r="15" spans="1:6" ht="16">
      <c r="A15" s="10" t="s">
        <v>33</v>
      </c>
      <c r="B15" s="38" t="s">
        <v>166</v>
      </c>
      <c r="C15" s="38"/>
      <c r="D15" s="38"/>
      <c r="E15" s="38"/>
      <c r="F15" s="38"/>
    </row>
    <row r="16" spans="1:6" ht="16">
      <c r="A16" s="10" t="s">
        <v>35</v>
      </c>
      <c r="B16" s="38" t="s">
        <v>167</v>
      </c>
      <c r="C16" s="38"/>
      <c r="D16" s="38"/>
      <c r="E16" s="38"/>
      <c r="F16" s="38"/>
    </row>
    <row r="18" spans="1:6" ht="15">
      <c r="A18" s="36" t="s">
        <v>168</v>
      </c>
      <c r="B18" s="36"/>
      <c r="C18" s="36"/>
      <c r="D18" s="36"/>
      <c r="E18" s="36"/>
      <c r="F18" s="36"/>
    </row>
    <row r="19" spans="1:6">
      <c r="A19" s="38" t="s">
        <v>169</v>
      </c>
      <c r="B19" s="38"/>
      <c r="C19" s="38"/>
      <c r="D19" s="38"/>
      <c r="E19" s="38"/>
      <c r="F19" s="38"/>
    </row>
    <row r="20" spans="1:6">
      <c r="A20" s="38" t="s">
        <v>170</v>
      </c>
      <c r="B20" s="38"/>
      <c r="C20" s="38"/>
      <c r="D20" s="38"/>
      <c r="E20" s="38"/>
      <c r="F20" s="38"/>
    </row>
    <row r="21" spans="1:6">
      <c r="A21" s="38" t="s">
        <v>171</v>
      </c>
      <c r="B21" s="38"/>
      <c r="C21" s="38"/>
      <c r="D21" s="38"/>
      <c r="E21" s="38"/>
      <c r="F21" s="38"/>
    </row>
    <row r="22" spans="1:6">
      <c r="A22" s="38" t="s">
        <v>172</v>
      </c>
      <c r="B22" s="38"/>
      <c r="C22" s="38"/>
      <c r="D22" s="38"/>
      <c r="E22" s="38"/>
      <c r="F22" s="38"/>
    </row>
    <row r="23" spans="1:6">
      <c r="A23" s="38" t="s">
        <v>173</v>
      </c>
      <c r="B23" s="38"/>
      <c r="C23" s="38"/>
      <c r="D23" s="38"/>
      <c r="E23" s="38"/>
      <c r="F23" s="38"/>
    </row>
    <row r="25" spans="1:6">
      <c r="A25" s="37"/>
      <c r="B25" s="37"/>
      <c r="C25" s="37"/>
      <c r="D25" s="37"/>
      <c r="E25" s="37"/>
      <c r="F25" s="37"/>
    </row>
    <row r="26" spans="1:6">
      <c r="A26" s="37"/>
      <c r="B26" s="37"/>
      <c r="C26" s="37"/>
      <c r="D26" s="37"/>
      <c r="E26" s="37"/>
      <c r="F26" s="37"/>
    </row>
  </sheetData>
  <mergeCells count="14">
    <mergeCell ref="A21:F21"/>
    <mergeCell ref="A22:F22"/>
    <mergeCell ref="A23:F23"/>
    <mergeCell ref="A25:F26"/>
    <mergeCell ref="B15:F15"/>
    <mergeCell ref="B16:F16"/>
    <mergeCell ref="A18:F18"/>
    <mergeCell ref="A19:F19"/>
    <mergeCell ref="A20:F20"/>
    <mergeCell ref="A1:F2"/>
    <mergeCell ref="A4:F4"/>
    <mergeCell ref="A12:F12"/>
    <mergeCell ref="B13:F13"/>
    <mergeCell ref="B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QA_Cleaning</vt:lpstr>
      <vt:lpstr>Segmentation</vt:lpstr>
      <vt:lpstr>Churn_Analysis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Thai Son Duong</cp:lastModifiedBy>
  <dcterms:created xsi:type="dcterms:W3CDTF">2026-10-04T22:23:37Z</dcterms:created>
  <dcterms:modified xsi:type="dcterms:W3CDTF">2026-10-04T22:23:37Z</dcterms:modified>
</cp:coreProperties>
</file>